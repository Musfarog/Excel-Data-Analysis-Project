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analysis\Assigment\"/>
    </mc:Choice>
  </mc:AlternateContent>
  <bookViews>
    <workbookView xWindow="0" yWindow="0" windowWidth="25125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J10" i="1"/>
  <c r="J17" i="1"/>
  <c r="J18" i="1"/>
  <c r="J19" i="1"/>
  <c r="J20" i="1"/>
  <c r="E20" i="1"/>
  <c r="E19" i="1"/>
  <c r="E18" i="1"/>
  <c r="E17" i="1"/>
  <c r="D20" i="1"/>
  <c r="D19" i="1"/>
  <c r="D18" i="1"/>
  <c r="D17" i="1"/>
  <c r="D3" i="1"/>
  <c r="E3" i="1"/>
  <c r="F3" i="1"/>
  <c r="C3" i="1"/>
</calcChain>
</file>

<file path=xl/sharedStrings.xml><?xml version="1.0" encoding="utf-8"?>
<sst xmlns="http://schemas.openxmlformats.org/spreadsheetml/2006/main" count="69" uniqueCount="46">
  <si>
    <t>1)</t>
  </si>
  <si>
    <t>Field</t>
  </si>
  <si>
    <t>P1</t>
  </si>
  <si>
    <t>P2</t>
  </si>
  <si>
    <t>P3</t>
  </si>
  <si>
    <t>P4</t>
  </si>
  <si>
    <t>Product ID</t>
  </si>
  <si>
    <t>Name</t>
  </si>
  <si>
    <t>Lap top</t>
  </si>
  <si>
    <t xml:space="preserve"> Phone</t>
  </si>
  <si>
    <t>Price</t>
  </si>
  <si>
    <t>Category</t>
  </si>
  <si>
    <t>Electronics</t>
  </si>
  <si>
    <t>Accessories</t>
  </si>
  <si>
    <t>Keybaard</t>
  </si>
  <si>
    <t>Mou  se</t>
  </si>
  <si>
    <t>Name 2</t>
  </si>
  <si>
    <t>1) we use substitute or trim and clean function to clean data</t>
  </si>
  <si>
    <t>2)</t>
  </si>
  <si>
    <t xml:space="preserve">product id </t>
  </si>
  <si>
    <t>name</t>
  </si>
  <si>
    <t>price</t>
  </si>
  <si>
    <t>category</t>
  </si>
  <si>
    <t>p1</t>
  </si>
  <si>
    <t>p2</t>
  </si>
  <si>
    <t>p3</t>
  </si>
  <si>
    <t>p4</t>
  </si>
  <si>
    <t>Column1</t>
  </si>
  <si>
    <t>Column2</t>
  </si>
  <si>
    <t>ramu</t>
  </si>
  <si>
    <t>Column3</t>
  </si>
  <si>
    <t>samu</t>
  </si>
  <si>
    <t>suthish</t>
  </si>
  <si>
    <t>sangeeth</t>
  </si>
  <si>
    <t>2)used text to column to separate</t>
  </si>
  <si>
    <t>3)</t>
  </si>
  <si>
    <t>WEF#</t>
  </si>
  <si>
    <t>Column4</t>
  </si>
  <si>
    <t>sdvaf#</t>
  </si>
  <si>
    <t>fv#</t>
  </si>
  <si>
    <t>#vfbbnn#</t>
  </si>
  <si>
    <t>Column5</t>
  </si>
  <si>
    <t>using substitute</t>
  </si>
  <si>
    <t>4)</t>
  </si>
  <si>
    <t>sd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</si>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</sst>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2">
    <dxf>
      <numFmt numFmtId="0" formatCode="General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6:J20" totalsRowShown="0">
  <autoFilter ref="B16:J20"/>
  <tableColumns count="9">
    <tableColumn id="1" name="Column1"/>
    <tableColumn id="2" name="product id "/>
    <tableColumn id="3" name="name"/>
    <tableColumn id="4" name="price"/>
    <tableColumn id="5" name="category" dataDxfId="1"/>
    <tableColumn id="6" name="Column2"/>
    <tableColumn id="7" name="Column3"/>
    <tableColumn id="8" name="Column4"/>
    <tableColumn id="9" name="Column5" dataDxfId="0">
      <calculatedColumnFormula>SUBSTITUTE(Table1[[#This Row],[Column4]],"#","")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149" zoomScaleNormal="115" workbookViewId="0">
      <selection activeCell="I11" sqref="I11"/>
    </sheetView>
  </sheetViews>
  <sheetFormatPr defaultRowHeight="15" x14ac:dyDescent="0.25"/>
  <cols>
    <col min="1" max="1" width="10" customWidth="1"/>
    <col min="2" max="2" width="11.7109375" customWidth="1"/>
    <col min="3" max="3" width="16" bestFit="1" customWidth="1"/>
    <col min="4" max="4" width="12.5703125" bestFit="1" customWidth="1"/>
    <col min="5" max="5" width="12.42578125" bestFit="1" customWidth="1"/>
    <col min="6" max="6" width="13.28515625" bestFit="1" customWidth="1"/>
    <col min="7" max="7" width="13.85546875" bestFit="1" customWidth="1"/>
  </cols>
  <sheetData>
    <row r="1" spans="1:1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25">
      <c r="B2" s="2" t="s">
        <v>6</v>
      </c>
      <c r="C2" s="2">
        <v>101</v>
      </c>
      <c r="D2" s="2">
        <v>102</v>
      </c>
      <c r="E2" s="2">
        <v>103</v>
      </c>
      <c r="F2" s="2">
        <v>104</v>
      </c>
      <c r="H2" t="s">
        <v>17</v>
      </c>
    </row>
    <row r="3" spans="1:10" x14ac:dyDescent="0.25">
      <c r="B3" s="2" t="s">
        <v>16</v>
      </c>
      <c r="C3" s="2" t="str">
        <f>SUBSTITUTE(C4," ","")</f>
        <v>Laptop</v>
      </c>
      <c r="D3" s="2" t="str">
        <f t="shared" ref="D3:F3" si="0">SUBSTITUTE(D4," ","")</f>
        <v>Phone</v>
      </c>
      <c r="E3" s="2" t="str">
        <f t="shared" si="0"/>
        <v>Mouse</v>
      </c>
      <c r="F3" s="2" t="str">
        <f t="shared" si="0"/>
        <v>Keybaard</v>
      </c>
      <c r="H3" t="s">
        <v>34</v>
      </c>
    </row>
    <row r="4" spans="1:10" x14ac:dyDescent="0.25">
      <c r="B4" s="2" t="s">
        <v>7</v>
      </c>
      <c r="C4" s="2" t="s">
        <v>8</v>
      </c>
      <c r="D4" s="2" t="s">
        <v>9</v>
      </c>
      <c r="E4" s="2" t="s">
        <v>15</v>
      </c>
      <c r="F4" s="2" t="s">
        <v>14</v>
      </c>
      <c r="H4" t="s">
        <v>35</v>
      </c>
      <c r="I4" t="s">
        <v>42</v>
      </c>
    </row>
    <row r="5" spans="1:10" x14ac:dyDescent="0.25">
      <c r="B5" s="2" t="s">
        <v>10</v>
      </c>
      <c r="C5" s="2">
        <v>2500</v>
      </c>
      <c r="D5" s="2">
        <v>1500</v>
      </c>
      <c r="E5" s="2">
        <v>800</v>
      </c>
      <c r="F5" s="2">
        <v>1200</v>
      </c>
      <c r="H5" t="s">
        <v>43</v>
      </c>
    </row>
    <row r="6" spans="1:10" x14ac:dyDescent="0.25">
      <c r="B6" s="2" t="s">
        <v>11</v>
      </c>
      <c r="C6" s="2" t="s">
        <v>12</v>
      </c>
      <c r="D6" s="2" t="s">
        <v>12</v>
      </c>
      <c r="E6" s="2" t="s">
        <v>13</v>
      </c>
      <c r="F6" s="2" t="s">
        <v>13</v>
      </c>
    </row>
    <row r="9" spans="1:10" x14ac:dyDescent="0.25">
      <c r="A9" t="s">
        <v>18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10" x14ac:dyDescent="0.25">
      <c r="B10" s="2" t="s">
        <v>6</v>
      </c>
      <c r="C10" s="2">
        <v>101</v>
      </c>
      <c r="D10" s="2">
        <v>102</v>
      </c>
      <c r="E10" s="2">
        <v>103</v>
      </c>
      <c r="F10" s="2">
        <v>104</v>
      </c>
      <c r="I10" t="s">
        <v>45</v>
      </c>
      <c r="J10">
        <f>MEDIAN(Table1[price])</f>
        <v>1350</v>
      </c>
    </row>
    <row r="11" spans="1:10" x14ac:dyDescent="0.25">
      <c r="B11" s="2" t="s">
        <v>7</v>
      </c>
      <c r="C11" s="2" t="s">
        <v>8</v>
      </c>
      <c r="D11" s="2" t="s">
        <v>9</v>
      </c>
      <c r="E11" s="2" t="s">
        <v>15</v>
      </c>
      <c r="F11" s="2" t="s">
        <v>14</v>
      </c>
      <c r="I11" t="s">
        <v>44</v>
      </c>
      <c r="J11">
        <f>_xlfn.STDEV.P(Table1[price])</f>
        <v>628.49025449882674</v>
      </c>
    </row>
    <row r="12" spans="1:10" x14ac:dyDescent="0.25">
      <c r="B12" s="2" t="s">
        <v>10</v>
      </c>
      <c r="C12" s="2">
        <v>2500</v>
      </c>
      <c r="D12" s="2">
        <v>1500</v>
      </c>
      <c r="E12" s="2">
        <v>800</v>
      </c>
      <c r="F12" s="2">
        <v>1200</v>
      </c>
    </row>
    <row r="13" spans="1:10" x14ac:dyDescent="0.25">
      <c r="B13" s="2" t="s">
        <v>11</v>
      </c>
      <c r="C13" s="2" t="s">
        <v>12</v>
      </c>
      <c r="D13" s="2" t="s">
        <v>12</v>
      </c>
      <c r="E13" s="2" t="s">
        <v>13</v>
      </c>
      <c r="F13" s="2" t="s">
        <v>13</v>
      </c>
    </row>
    <row r="16" spans="1:10" x14ac:dyDescent="0.25">
      <c r="B16" t="s">
        <v>27</v>
      </c>
      <c r="C16" t="s">
        <v>19</v>
      </c>
      <c r="D16" t="s">
        <v>20</v>
      </c>
      <c r="E16" t="s">
        <v>21</v>
      </c>
      <c r="F16" t="s">
        <v>22</v>
      </c>
      <c r="G16" t="s">
        <v>28</v>
      </c>
      <c r="H16" t="s">
        <v>30</v>
      </c>
      <c r="I16" t="s">
        <v>37</v>
      </c>
      <c r="J16" t="s">
        <v>41</v>
      </c>
    </row>
    <row r="17" spans="2:10" x14ac:dyDescent="0.25">
      <c r="B17" t="s">
        <v>23</v>
      </c>
      <c r="C17">
        <v>101</v>
      </c>
      <c r="D17" t="str">
        <f>HLOOKUP($C$17,$C$10:$C$13,2,FALSE)</f>
        <v>Lap top</v>
      </c>
      <c r="E17">
        <f>HLOOKUP($C$17,$C$10:$C$13,3,FALSE)</f>
        <v>2500</v>
      </c>
      <c r="F17" s="2" t="s">
        <v>12</v>
      </c>
      <c r="G17">
        <v>1001</v>
      </c>
      <c r="H17" t="s">
        <v>29</v>
      </c>
      <c r="I17" t="s">
        <v>36</v>
      </c>
      <c r="J17" t="str">
        <f>SUBSTITUTE(Table1[[#This Row],[Column4]],"#","")</f>
        <v>WEF</v>
      </c>
    </row>
    <row r="18" spans="2:10" x14ac:dyDescent="0.25">
      <c r="B18" t="s">
        <v>24</v>
      </c>
      <c r="C18">
        <v>102</v>
      </c>
      <c r="D18" t="str">
        <f>HLOOKUP(C18,D10:D13,2,FALSE)</f>
        <v xml:space="preserve"> Phone</v>
      </c>
      <c r="E18">
        <f>HLOOKUP(C18,D10:D13,3,FALSE)</f>
        <v>1500</v>
      </c>
      <c r="F18" s="2" t="s">
        <v>12</v>
      </c>
      <c r="G18">
        <v>1002</v>
      </c>
      <c r="H18" t="s">
        <v>31</v>
      </c>
      <c r="I18" t="s">
        <v>38</v>
      </c>
      <c r="J18" t="str">
        <f>SUBSTITUTE(Table1[[#This Row],[Column4]],"#","")</f>
        <v>sdvaf</v>
      </c>
    </row>
    <row r="19" spans="2:10" x14ac:dyDescent="0.25">
      <c r="B19" t="s">
        <v>25</v>
      </c>
      <c r="C19">
        <v>103</v>
      </c>
      <c r="D19" t="str">
        <f>HLOOKUP(C19,E10:E13,2,FALSE)</f>
        <v>Mou  se</v>
      </c>
      <c r="E19">
        <f>HLOOKUP(C19,E10:E13,3,FALSE)</f>
        <v>800</v>
      </c>
      <c r="F19" s="2" t="s">
        <v>13</v>
      </c>
      <c r="G19">
        <v>1003</v>
      </c>
      <c r="H19" t="s">
        <v>32</v>
      </c>
      <c r="I19" t="s">
        <v>39</v>
      </c>
      <c r="J19" t="str">
        <f>SUBSTITUTE(Table1[[#This Row],[Column4]],"#","")</f>
        <v>fv</v>
      </c>
    </row>
    <row r="20" spans="2:10" x14ac:dyDescent="0.25">
      <c r="B20" t="s">
        <v>26</v>
      </c>
      <c r="C20">
        <v>104</v>
      </c>
      <c r="D20" t="str">
        <f>HLOOKUP(C20,F10:F13,2,FALSE)</f>
        <v>Keybaard</v>
      </c>
      <c r="E20">
        <f>HLOOKUP(C20,F2:F6,4,FALSE)</f>
        <v>1200</v>
      </c>
      <c r="F20" s="2" t="s">
        <v>13</v>
      </c>
      <c r="G20">
        <v>1004</v>
      </c>
      <c r="H20" t="s">
        <v>33</v>
      </c>
      <c r="I20" t="s">
        <v>40</v>
      </c>
      <c r="J20" t="str">
        <f>SUBSTITUTE(Table1[[#This Row],[Column4]],"#","")</f>
        <v>vfbbnn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2026-04-05T12:14:48Z</dcterms:created>
  <dcterms:modified xsi:type="dcterms:W3CDTF">2026-04-05T14:30:17Z</dcterms:modified>
</cp:coreProperties>
</file>